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2400" windowHeight="18420" tabRatio="500" firstSheet="0" activeTab="0" autoFilterDateGrouping="1"/>
  </bookViews>
  <sheets>
    <sheet xmlns:r="http://schemas.openxmlformats.org/officeDocument/2006/relationships" name="Quote Comparison" sheetId="1" state="visible" r:id="rId1"/>
    <sheet xmlns:r="http://schemas.openxmlformats.org/officeDocument/2006/relationships" name="US Tariff Reference" sheetId="2" state="visible" r:id="rId2"/>
    <sheet xmlns:r="http://schemas.openxmlformats.org/officeDocument/2006/relationships" name="Battery-Inverter Price List" sheetId="3" state="visible" r:id="rId3"/>
    <sheet xmlns:r="http://schemas.openxmlformats.org/officeDocument/2006/relationships" name="Decision Tracker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.000"/>
    <numFmt numFmtId="166" formatCode="\$#,##0.00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1A2332"/>
      <sz val="16"/>
    </font>
    <font>
      <name val="Arial"/>
      <charset val="1"/>
      <color rgb="FF666666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sz val="11"/>
    </font>
    <font>
      <name val="Arial"/>
      <charset val="1"/>
      <b val="1"/>
      <color rgb="FF1A2332"/>
      <sz val="14"/>
    </font>
    <font>
      <name val="Arial"/>
      <charset val="1"/>
      <b val="1"/>
      <color rgb="FFCC0000"/>
      <sz val="12"/>
    </font>
    <font>
      <name val="Arial"/>
      <charset val="1"/>
      <sz val="10"/>
    </font>
  </fonts>
  <fills count="11">
    <fill>
      <patternFill/>
    </fill>
    <fill>
      <patternFill patternType="gray125"/>
    </fill>
    <fill>
      <patternFill patternType="solid">
        <fgColor rgb="FF1A2332"/>
        <bgColor rgb="FF333300"/>
      </patternFill>
    </fill>
    <fill>
      <patternFill patternType="solid">
        <fgColor rgb="FF34495E"/>
        <bgColor rgb="FF003366"/>
      </patternFill>
    </fill>
    <fill>
      <patternFill patternType="solid">
        <fgColor rgb="FFEBF5FB"/>
        <bgColor rgb="FFE8F8F5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2F3F4"/>
      </patternFill>
    </fill>
    <fill>
      <patternFill patternType="solid">
        <fgColor rgb="FF922B21"/>
        <bgColor rgb="FF993366"/>
      </patternFill>
    </fill>
    <fill>
      <patternFill patternType="solid">
        <fgColor rgb="FFC0392B"/>
        <bgColor rgb="FF922B21"/>
      </patternFill>
    </fill>
    <fill>
      <patternFill patternType="solid">
        <fgColor rgb="FFFDEDEC"/>
        <bgColor rgb="FFF2F3F4"/>
      </patternFill>
    </fill>
    <fill>
      <patternFill patternType="solid">
        <fgColor rgb="FFF2F3F4"/>
        <bgColor rgb="FFEBF5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3" fillId="7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166" fontId="5" fillId="0" borderId="1" pivotButton="0" quotePrefix="0" xfId="0"/>
    <xf numFmtId="0" fontId="4" fillId="8" borderId="0" applyAlignment="1" pivotButton="0" quotePrefix="0" xfId="0">
      <alignment horizontal="center"/>
    </xf>
    <xf numFmtId="0" fontId="5" fillId="9" borderId="1" pivotButton="0" quotePrefix="0" xfId="0"/>
    <xf numFmtId="0" fontId="7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5" fillId="1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C0392B"/>
      <rgbColor rgb="FFFEF9E7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2F3F4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22B21"/>
      <rgbColor rgb="FF993366"/>
      <rgbColor rgb="FF34495E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topLeftCell="A6" zoomScale="150" zoomScaleNormal="150" workbookViewId="0">
      <selection activeCell="C3" sqref="C3"/>
    </sheetView>
  </sheetViews>
  <sheetFormatPr baseColWidth="10" defaultColWidth="8.6640625" defaultRowHeight="15"/>
  <cols>
    <col width="5" customWidth="1" min="1" max="1"/>
    <col width="38.33203125" customWidth="1" min="2" max="2"/>
    <col width="26.5" customWidth="1" min="3" max="3"/>
    <col width="18" customWidth="1" min="4" max="7"/>
    <col width="16" customWidth="1" min="8" max="10"/>
    <col width="89.83203125" customWidth="1" min="11" max="11"/>
  </cols>
  <sheetData>
    <row r="1" ht="30" customHeight="1">
      <c r="A1" s="6" t="inlineStr">
        <is>
          <t>PETERSON SOLAR PROJECT — SUPPLIER QUOTE COMPARISON</t>
        </is>
      </c>
    </row>
    <row r="2" ht="19.5" customHeight="1">
      <c r="A2" s="5" t="inlineStr">
        <is>
          <t>Updated: April 20, 2026 | All prices FOB China unless noted</t>
        </is>
      </c>
    </row>
    <row r="3"/>
    <row r="4" ht="27.75" customHeight="1">
      <c r="A4" s="7" t="inlineStr">
        <is>
          <t>SOLAR PANELS</t>
        </is>
      </c>
    </row>
    <row r="5" ht="15" customHeight="1">
      <c r="A5" s="8" t="inlineStr">
        <is>
          <t>#</t>
        </is>
      </c>
      <c r="B5" s="8" t="inlineStr">
        <is>
          <t>Supplier</t>
        </is>
      </c>
      <c r="C5" s="8" t="inlineStr">
        <is>
          <t>Model</t>
        </is>
      </c>
      <c r="D5" s="8" t="inlineStr">
        <is>
          <t>Watts</t>
        </is>
      </c>
      <c r="E5" s="8" t="inlineStr">
        <is>
          <t>Qty</t>
        </is>
      </c>
      <c r="F5" s="8" t="inlineStr">
        <is>
          <t>Unit Price</t>
        </is>
      </c>
      <c r="G5" s="8" t="inlineStr">
        <is>
          <t>Total</t>
        </is>
      </c>
      <c r="H5" s="8" t="inlineStr">
        <is>
          <t>$/Watt</t>
        </is>
      </c>
      <c r="I5" s="8" t="inlineStr">
        <is>
          <t>Bifacial</t>
        </is>
      </c>
      <c r="J5" s="8" t="inlineStr">
        <is>
          <t>Warranty</t>
        </is>
      </c>
      <c r="K5" s="8" t="inlineStr">
        <is>
          <t>Notes</t>
        </is>
      </c>
    </row>
    <row r="6" ht="15" customHeight="1">
      <c r="A6" s="9" t="n">
        <v>1</v>
      </c>
      <c r="B6" s="10" t="inlineStr">
        <is>
          <t>Sunpal Power (both quotes)</t>
        </is>
      </c>
      <c r="C6" s="10" t="inlineStr">
        <is>
          <t>SP630M-66H TOPCon Bifacial</t>
        </is>
      </c>
      <c r="D6" s="10" t="n">
        <v>630</v>
      </c>
      <c r="E6" s="10" t="n">
        <v>48</v>
      </c>
      <c r="F6" s="11" t="n">
        <v>76</v>
      </c>
      <c r="G6" s="11">
        <f>E6*F6</f>
        <v/>
      </c>
      <c r="H6" s="12">
        <f>F6/D6</f>
        <v/>
      </c>
      <c r="I6" s="10" t="inlineStr">
        <is>
          <t>Yes</t>
        </is>
      </c>
      <c r="J6" s="10" t="inlineStr">
        <is>
          <t>30 yr</t>
        </is>
      </c>
      <c r="K6" s="10" t="inlineStr">
        <is>
          <t>Included in both Atess &amp; Megarevo packages</t>
        </is>
      </c>
    </row>
    <row r="7" ht="15" customHeight="1">
      <c r="A7" s="9" t="n">
        <v>2</v>
      </c>
      <c r="B7" s="10" t="inlineStr">
        <is>
          <t>Simone Wang (TBD company)</t>
        </is>
      </c>
      <c r="C7" s="10" t="inlineStr">
        <is>
          <t>TBD — bundled w/ tracker</t>
        </is>
      </c>
      <c r="D7" s="10" t="n">
        <v>550</v>
      </c>
      <c r="E7" s="10" t="n"/>
      <c r="F7" s="10" t="n"/>
      <c r="G7" s="10" t="n"/>
      <c r="H7" s="10" t="n"/>
      <c r="I7" s="10" t="inlineStr">
        <is>
          <t>Ask</t>
        </is>
      </c>
      <c r="J7" s="10" t="inlineStr">
        <is>
          <t>Ask</t>
        </is>
      </c>
      <c r="K7" s="10" t="inlineStr">
        <is>
          <t>Panels bundled w/ 8-panel dual-axis tracker @ $3,250/unit</t>
        </is>
      </c>
    </row>
    <row r="8"/>
    <row r="9" ht="15" customHeight="1">
      <c r="A9" s="7" t="inlineStr">
        <is>
          <t>DUAL-AXIS TRACKER POSTS</t>
        </is>
      </c>
    </row>
    <row r="10" ht="15" customHeight="1">
      <c r="A10" s="8" t="inlineStr">
        <is>
          <t>#</t>
        </is>
      </c>
      <c r="B10" s="8" t="inlineStr">
        <is>
          <t>Supplier</t>
        </is>
      </c>
      <c r="C10" s="8" t="inlineStr">
        <is>
          <t>Model/Config</t>
        </is>
      </c>
      <c r="D10" s="8" t="inlineStr">
        <is>
          <t>Panels/Post</t>
        </is>
      </c>
      <c r="E10" s="8" t="inlineStr">
        <is>
          <t>Qty Posts</t>
        </is>
      </c>
      <c r="F10" s="8" t="inlineStr">
        <is>
          <t>Unit Price</t>
        </is>
      </c>
      <c r="G10" s="8" t="inlineStr">
        <is>
          <t>Total</t>
        </is>
      </c>
      <c r="H10" s="8" t="inlineStr">
        <is>
          <t>$/Panel Slot</t>
        </is>
      </c>
      <c r="I10" s="8" t="inlineStr">
        <is>
          <t>Wind Stow</t>
        </is>
      </c>
      <c r="J10" s="8" t="inlineStr">
        <is>
          <t>Warranty</t>
        </is>
      </c>
      <c r="K10" s="8" t="inlineStr">
        <is>
          <t>Notes</t>
        </is>
      </c>
    </row>
    <row r="11" ht="15" customHeight="1">
      <c r="A11" s="13" t="n">
        <v>1</v>
      </c>
      <c r="B11" s="10" t="inlineStr">
        <is>
          <t>Simone Wang (TBD)</t>
        </is>
      </c>
      <c r="C11" s="10" t="inlineStr">
        <is>
          <t>8-panel dual-axis post</t>
        </is>
      </c>
      <c r="D11" s="10" t="n">
        <v>8</v>
      </c>
      <c r="E11" s="10" t="n">
        <v>7</v>
      </c>
      <c r="F11" s="11" t="n">
        <v>3250</v>
      </c>
      <c r="G11" s="11">
        <f>IF(E11*F11,E11*F11,"")</f>
        <v/>
      </c>
      <c r="H11" s="11">
        <f>IF(F11,F11/D11,"")</f>
        <v/>
      </c>
      <c r="I11" s="10" t="inlineStr">
        <is>
          <t>Ask</t>
        </is>
      </c>
      <c r="J11" s="10" t="inlineStr">
        <is>
          <t>Ask</t>
        </is>
      </c>
      <c r="K11" s="10" t="inlineStr">
        <is>
          <t>INCLUDES panels! 7 posts × 8 panels = 56 panels. Price is tracker+panels bundled</t>
        </is>
      </c>
    </row>
    <row r="12" ht="15" customHeight="1">
      <c r="A12" s="13" t="n">
        <v>2</v>
      </c>
      <c r="B12" s="10" t="inlineStr">
        <is>
          <t>TBD — RFQ sent</t>
        </is>
      </c>
      <c r="C12" s="10" t="inlineStr">
        <is>
          <t>2-panel dual-axis post</t>
        </is>
      </c>
      <c r="D12" s="10" t="n">
        <v>2</v>
      </c>
      <c r="E12" s="10" t="n">
        <v>30</v>
      </c>
      <c r="F12" s="10" t="n"/>
      <c r="G12" s="11">
        <f>IF(E12*F12,E12*F12,"")</f>
        <v/>
      </c>
      <c r="H12" s="11">
        <f>IF(F12,F12/D12,"")</f>
        <v/>
      </c>
      <c r="I12" s="10" t="inlineStr">
        <is>
          <t>40mph/stow 50+</t>
        </is>
      </c>
      <c r="J12" s="10" t="inlineStr">
        <is>
          <t>10yr struct</t>
        </is>
      </c>
      <c r="K12" s="10" t="inlineStr">
        <is>
          <t>Per our RFQ to Kseng, PromiSteel, HDsolar, Huayue, Xinpeng</t>
        </is>
      </c>
    </row>
    <row r="13" ht="15" customHeight="1">
      <c r="A13" s="13" t="n">
        <v>3</v>
      </c>
      <c r="B13" s="10" t="inlineStr">
        <is>
          <t>TBD — RFQ sent</t>
        </is>
      </c>
      <c r="C13" s="10" t="inlineStr">
        <is>
          <t>4-panel dual-axis post</t>
        </is>
      </c>
      <c r="D13" s="10" t="n">
        <v>4</v>
      </c>
      <c r="E13" s="10" t="n">
        <v>14</v>
      </c>
      <c r="F13" s="10" t="n"/>
      <c r="G13" s="11">
        <f>IF(E13*F13,E13*F13,"")</f>
        <v/>
      </c>
      <c r="H13" s="11">
        <f>IF(F13,F13/D13,"")</f>
        <v/>
      </c>
      <c r="I13" s="10" t="inlineStr">
        <is>
          <t>Ask</t>
        </is>
      </c>
      <c r="J13" s="10" t="inlineStr">
        <is>
          <t>Ask</t>
        </is>
      </c>
      <c r="K13" s="10" t="inlineStr">
        <is>
          <t>4-panel config per supplier drawing (4578mm frame)</t>
        </is>
      </c>
    </row>
    <row r="14">
      <c r="A14" t="n">
        <v>4</v>
      </c>
      <c r="B14" t="inlineStr">
        <is>
          <t>Sunchaser / Shandong Zhaori</t>
        </is>
      </c>
      <c r="C14" t="inlineStr">
        <is>
          <t>ZRD 8-panel dual-axis</t>
        </is>
      </c>
      <c r="D14" t="n">
        <v>8</v>
      </c>
      <c r="E14" t="n">
        <v>7</v>
      </c>
      <c r="I14" t="inlineStr">
        <is>
          <t>40 m/s stow</t>
        </is>
      </c>
      <c r="J14" t="inlineStr">
        <is>
          <t>3 yr ext.</t>
        </is>
      </c>
      <c r="K14" t="inlineStr">
        <is>
          <t>TUV SUD + CE. IP65. RS485+wireless. PRICE NOT YET — datasheet only.</t>
        </is>
      </c>
    </row>
    <row r="15" ht="15" customHeight="1">
      <c r="A15" t="n">
        <v>5</v>
      </c>
      <c r="B15" t="inlineStr">
        <is>
          <t>Huayue / Shandong Huayue</t>
        </is>
      </c>
      <c r="C15" t="inlineStr">
        <is>
          <t>HYS-8PV-78-LSD (or -144)</t>
        </is>
      </c>
      <c r="D15" t="n">
        <v>8</v>
      </c>
      <c r="E15" t="n">
        <v>7</v>
      </c>
      <c r="I15" t="inlineStr">
        <is>
          <t>Ask</t>
        </is>
      </c>
      <c r="J15" t="inlineStr">
        <is>
          <t>Ask</t>
        </is>
      </c>
      <c r="K15" t="inlineStr">
        <is>
          <t>Drawing only. Filename says 144, drawing says 78 — MODEL CONFUSION.</t>
        </is>
      </c>
    </row>
    <row r="16" ht="15" customHeight="1">
      <c r="A16" t="n">
        <v>6</v>
      </c>
      <c r="B16" t="inlineStr">
        <is>
          <t>Sunchaser / Shandong Zhaori</t>
        </is>
      </c>
      <c r="C16" t="inlineStr">
        <is>
          <t>ZRD 10-panel dual-axis</t>
        </is>
      </c>
      <c r="D16" t="n">
        <v>10</v>
      </c>
      <c r="E16" t="n">
        <v>6</v>
      </c>
      <c r="I16" t="inlineStr">
        <is>
          <t>40 m/s stow</t>
        </is>
      </c>
      <c r="J16" t="inlineStr">
        <is>
          <t>3 yr ext.</t>
        </is>
      </c>
      <c r="K16" t="inlineStr">
        <is>
          <t>Alt sizing. 10 panels ≤26m².</t>
        </is>
      </c>
    </row>
    <row r="17" ht="15" customHeight="1">
      <c r="A17" t="n">
        <v>7</v>
      </c>
      <c r="B17" t="inlineStr">
        <is>
          <t>Simone Wang (panels + tracker)</t>
        </is>
      </c>
      <c r="C17" t="inlineStr">
        <is>
          <t>8-panel bundle (company TBD)</t>
        </is>
      </c>
      <c r="D17" t="n">
        <v>8</v>
      </c>
      <c r="E17" t="n">
        <v>7</v>
      </c>
      <c r="F17" t="n">
        <v>3250</v>
      </c>
      <c r="I17" t="inlineStr">
        <is>
          <t>Ask</t>
        </is>
      </c>
      <c r="J17" t="inlineStr">
        <is>
          <t>Ask</t>
        </is>
      </c>
      <c r="K17" t="inlineStr">
        <is>
          <t>BUNDLE includes panels. COMPANY NAME STILL UNKNOWN.</t>
        </is>
      </c>
    </row>
    <row r="18" ht="15" customHeight="1"/>
    <row r="19" ht="15" customHeight="1">
      <c r="A19" s="7" t="inlineStr">
        <is>
          <t>INVERTER + BATTERY STORAGE (ESS)</t>
        </is>
      </c>
    </row>
    <row r="20" ht="15" customHeight="1">
      <c r="A20" s="8" t="inlineStr">
        <is>
          <t>#</t>
        </is>
      </c>
      <c r="B20" s="8" t="inlineStr">
        <is>
          <t>Supplier / Quote</t>
        </is>
      </c>
      <c r="C20" s="8" t="inlineStr">
        <is>
          <t>Inverter</t>
        </is>
      </c>
      <c r="D20" s="8" t="inlineStr">
        <is>
          <t>Inv. kW</t>
        </is>
      </c>
      <c r="E20" s="8" t="inlineStr">
        <is>
          <t>Battery kWh</t>
        </is>
      </c>
      <c r="F20" s="8" t="inlineStr">
        <is>
          <t>Inverter $</t>
        </is>
      </c>
      <c r="G20" s="8" t="inlineStr">
        <is>
          <t>Battery $</t>
        </is>
      </c>
      <c r="H20" s="8" t="inlineStr">
        <is>
          <t>Total ESS $</t>
        </is>
      </c>
      <c r="I20" s="8" t="inlineStr">
        <is>
          <t>$/kWh</t>
        </is>
      </c>
      <c r="J20" s="8" t="inlineStr">
        <is>
          <t>Certs</t>
        </is>
      </c>
      <c r="K20" s="8" t="inlineStr">
        <is>
          <t>Notes</t>
        </is>
      </c>
    </row>
    <row r="21" ht="15" customHeight="1">
      <c r="A21" s="14" t="n">
        <v>1</v>
      </c>
      <c r="B21" s="10" t="inlineStr">
        <is>
          <t>Sunpal — Atess Quote</t>
        </is>
      </c>
      <c r="C21" s="10" t="inlineStr">
        <is>
          <t>Atess HPS30000TL-US-208 3-Phase</t>
        </is>
      </c>
      <c r="D21" s="10" t="n">
        <v>30</v>
      </c>
      <c r="E21" s="10" t="n">
        <v>61.44</v>
      </c>
      <c r="F21" s="11" t="n">
        <v>4880</v>
      </c>
      <c r="G21" s="11" t="n">
        <v>8400</v>
      </c>
      <c r="H21" s="11">
        <f>F17+G17</f>
        <v/>
      </c>
      <c r="I21" s="15">
        <f>H17/E17</f>
        <v/>
      </c>
      <c r="J21" s="10" t="inlineStr">
        <is>
          <t>Ask UL1741</t>
        </is>
      </c>
      <c r="K21" s="10" t="inlineStr">
        <is>
          <t>3 MPPT, 190-240V. HIGH VOLTAGE battery (614V). 100% TT upfront</t>
        </is>
      </c>
    </row>
    <row r="22">
      <c r="A22" s="14" t="n">
        <v>2</v>
      </c>
      <c r="B22" s="10" t="inlineStr">
        <is>
          <t>Sunpal — Megarevo Quote</t>
        </is>
      </c>
      <c r="C22" s="10" t="inlineStr">
        <is>
          <t>2× Megarevo R16KLNA Split-Phase</t>
        </is>
      </c>
      <c r="D22" s="10" t="n">
        <v>32</v>
      </c>
      <c r="E22" s="10" t="n">
        <v>64</v>
      </c>
      <c r="F22" s="11" t="n">
        <v>4900</v>
      </c>
      <c r="G22" s="11" t="n">
        <v>6300</v>
      </c>
      <c r="H22" s="11">
        <f>F18+G18</f>
        <v/>
      </c>
      <c r="I22" s="15">
        <f>H18/E18</f>
        <v/>
      </c>
      <c r="J22" s="10" t="inlineStr">
        <is>
          <t>UL Cert</t>
        </is>
      </c>
      <c r="K22" s="10" t="inlineStr">
        <is>
          <t>Split-phase 120/240V ✓ US-spec! 4× 16kWh floor batteries + combiner box</t>
        </is>
      </c>
    </row>
    <row r="23">
      <c r="A23" s="14" t="n">
        <v>3</v>
      </c>
      <c r="B23" s="10" t="inlineStr">
        <is>
          <t>Japower All-in-One ESS</t>
        </is>
      </c>
      <c r="C23" s="10" t="inlineStr">
        <is>
          <t>Built-in (per unit)</t>
        </is>
      </c>
      <c r="D23" s="10" t="n">
        <v>30</v>
      </c>
      <c r="E23" s="10" t="n">
        <v>80</v>
      </c>
      <c r="F23" s="10" t="n"/>
      <c r="G23" s="10" t="n"/>
      <c r="H23" s="10" t="n"/>
      <c r="I23" s="10" t="n"/>
      <c r="J23" s="10" t="inlineStr">
        <is>
          <t>Ask UL1741</t>
        </is>
      </c>
      <c r="K23" s="10" t="inlineStr">
        <is>
          <t>All-in-one cabinet. Need direct quote — Alibaba doesn't show real price</t>
        </is>
      </c>
    </row>
    <row r="24" ht="15" customHeight="1">
      <c r="A24" s="14" t="n">
        <v>4</v>
      </c>
      <c r="B24" s="10" t="inlineStr">
        <is>
          <t>Japower × 2 (Tier 3)</t>
        </is>
      </c>
      <c r="C24" s="10" t="inlineStr">
        <is>
          <t>Built-in (paralleled)</t>
        </is>
      </c>
      <c r="D24" s="10" t="n">
        <v>60</v>
      </c>
      <c r="E24" s="10" t="n">
        <v>160</v>
      </c>
      <c r="F24" s="10" t="n"/>
      <c r="G24" s="10" t="n"/>
      <c r="H24" s="10" t="n"/>
      <c r="I24" s="10" t="n"/>
      <c r="J24" s="10" t="inlineStr">
        <is>
          <t>Ask UL1741</t>
        </is>
      </c>
      <c r="K24" s="10" t="inlineStr">
        <is>
          <t>2 units paralleled for full off-grid. Est. $18K-$28K total</t>
        </is>
      </c>
    </row>
    <row r="25" ht="15" customHeight="1">
      <c r="A25" s="14" t="n">
        <v>5</v>
      </c>
      <c r="B25" s="10" t="inlineStr">
        <is>
          <t>Sunwave (from PPTX)</t>
        </is>
      </c>
      <c r="C25" s="10" t="inlineStr">
        <is>
          <t>Separate inv + battery</t>
        </is>
      </c>
      <c r="D25" s="10" t="n"/>
      <c r="E25" s="10" t="n"/>
      <c r="F25" s="10" t="n"/>
      <c r="G25" s="10" t="n"/>
      <c r="H25" s="10" t="n"/>
      <c r="I25" s="10" t="n"/>
      <c r="J25" s="10" t="inlineStr">
        <is>
          <t>Ask</t>
        </is>
      </c>
      <c r="K25" s="10" t="inlineStr">
        <is>
          <t>Presented pros/cons of separate vs all-in-one. No pricing in deck.</t>
        </is>
      </c>
    </row>
    <row r="26" ht="15" customHeight="1">
      <c r="A26" t="n">
        <v>6</v>
      </c>
      <c r="B26" t="inlineStr">
        <is>
          <t>Sunwave — RIGHT-SIZED (Tier 3)</t>
        </is>
      </c>
      <c r="C26" t="inlineStr">
        <is>
          <t>2× SEI-18K-USP split-phase</t>
        </is>
      </c>
      <c r="D26" t="n">
        <v>36</v>
      </c>
      <c r="E26" t="n">
        <v>160.8</v>
      </c>
      <c r="F26" t="n">
        <v>6084</v>
      </c>
      <c r="G26" t="n">
        <v>13080</v>
      </c>
      <c r="H26">
        <f>F22+G22</f>
        <v/>
      </c>
      <c r="I26">
        <f>H22/E22</f>
        <v/>
      </c>
      <c r="J26" t="inlineStr">
        <is>
          <t>CSA C22.2 107.1</t>
        </is>
      </c>
      <c r="K26" t="inlineStr">
        <is>
          <t>⭐ LEADING. 2× inv + 10× SW-LCT-16. Off-grid capable, gen AC input. $19,164 FOB</t>
        </is>
      </c>
    </row>
    <row r="27" ht="15" customHeight="1">
      <c r="A27" t="n">
        <v>7</v>
      </c>
      <c r="B27" t="inlineStr">
        <is>
          <t>Sunwave — AS-QUOTED</t>
        </is>
      </c>
      <c r="C27" t="inlineStr">
        <is>
          <t>4× SEI-18K-USP split-phase</t>
        </is>
      </c>
      <c r="D27" t="n">
        <v>72</v>
      </c>
      <c r="E27" t="n">
        <v>192</v>
      </c>
      <c r="F27" t="n">
        <v>12168</v>
      </c>
      <c r="G27" t="n">
        <v>15696</v>
      </c>
      <c r="H27">
        <f>F23+G23</f>
        <v/>
      </c>
      <c r="I27">
        <f>H23/E23</f>
        <v/>
      </c>
      <c r="J27" t="inlineStr">
        <is>
          <t>CSA C22.2 107.1</t>
        </is>
      </c>
      <c r="K27" t="inlineStr">
        <is>
          <t>Oversized. $27,864 FOB. Use unit prices from right-sized quote.</t>
        </is>
      </c>
    </row>
    <row r="28" ht="15" customHeight="1">
      <c r="A28" t="n">
        <v>8</v>
      </c>
      <c r="B28" t="inlineStr">
        <is>
          <t>Japower Opt 1 (Laura) × 2</t>
        </is>
      </c>
      <c r="C28" t="inlineStr">
        <is>
          <t>2× SRNE 18kW split-phase</t>
        </is>
      </c>
      <c r="D28" t="n">
        <v>36</v>
      </c>
      <c r="E28" t="n">
        <v>160</v>
      </c>
      <c r="H28" t="n">
        <v>26000</v>
      </c>
      <c r="I28">
        <f>H24/E24</f>
        <v/>
      </c>
      <c r="J28" t="inlineStr">
        <is>
          <t>UL (claimed)</t>
        </is>
      </c>
      <c r="K28" t="inlineStr">
        <is>
          <t>2× $11,999 = $26,000 FOB. +$2,000 outdoor adder. All-in-one integrated.</t>
        </is>
      </c>
    </row>
    <row r="29" ht="15" customHeight="1">
      <c r="A29" t="n">
        <v>9</v>
      </c>
      <c r="B29" t="inlineStr">
        <is>
          <t>Japower Opt 3 (Laura) × 2</t>
        </is>
      </c>
      <c r="C29" t="inlineStr">
        <is>
          <t>2× Solis 30kW split-phase</t>
        </is>
      </c>
      <c r="D29" t="n">
        <v>60</v>
      </c>
      <c r="E29" t="n">
        <v>200</v>
      </c>
      <c r="H29" t="n">
        <v>39998</v>
      </c>
      <c r="I29">
        <f>H25/E25</f>
        <v/>
      </c>
      <c r="J29" t="inlineStr">
        <is>
          <t>Ask UL</t>
        </is>
      </c>
      <c r="K29" t="inlineStr">
        <is>
          <t>2× $19,999. Larger headroom, commercial option.</t>
        </is>
      </c>
    </row>
    <row r="30">
      <c r="A30" t="n">
        <v>10</v>
      </c>
      <c r="B30" t="inlineStr">
        <is>
          <t>LongKun (Zoey Mai)</t>
        </is>
      </c>
      <c r="C30" t="inlineStr">
        <is>
          <t>1× 30kW HV hybrid</t>
        </is>
      </c>
      <c r="D30" t="n">
        <v>30</v>
      </c>
      <c r="E30" t="n">
        <v>40</v>
      </c>
      <c r="F30" t="n">
        <v>5381</v>
      </c>
      <c r="G30" t="n">
        <v>10022</v>
      </c>
      <c r="H30">
        <f>F26+G26</f>
        <v/>
      </c>
      <c r="I30">
        <f>H26/E26</f>
        <v/>
      </c>
      <c r="J30" t="inlineStr">
        <is>
          <t>UL1973/UL9540A (batt)</t>
        </is>
      </c>
      <c r="K30" t="inlineStr">
        <is>
          <t>RIGHT-SIZED: 1 inv + 1 cab. Full quote 10 cabs + 5 inv = $127K. Split-phase NOT confirmed.</t>
        </is>
      </c>
    </row>
    <row r="31">
      <c r="A31" t="n">
        <v>11</v>
      </c>
      <c r="B31" t="inlineStr">
        <is>
          <t>Kamada (James Tang) — 1 set</t>
        </is>
      </c>
      <c r="C31" t="inlineStr">
        <is>
          <t>1× 15kW×2 split-phase</t>
        </is>
      </c>
      <c r="D31" t="n">
        <v>15</v>
      </c>
      <c r="E31" t="n">
        <v>16</v>
      </c>
      <c r="F31" t="n">
        <v>3885</v>
      </c>
      <c r="G31" t="n">
        <v>7115</v>
      </c>
      <c r="H31">
        <f>F27+G27</f>
        <v/>
      </c>
      <c r="I31">
        <f>H27/E27</f>
        <v/>
      </c>
      <c r="J31" t="inlineStr">
        <is>
          <t>Ask UL</t>
        </is>
      </c>
      <c r="K31" t="inlineStr">
        <is>
          <t>PER-SET. Full quote 6 sets = $74,500 DDP (incl. $8,500 ship). Sizing math unclear.</t>
        </is>
      </c>
    </row>
    <row r="32">
      <c r="A32" t="n">
        <v>12</v>
      </c>
      <c r="B32" t="inlineStr">
        <is>
          <t>GSL Energy (Alex Yan) — BATTERY ONLY</t>
        </is>
      </c>
      <c r="C32" t="inlineStr">
        <is>
          <t>—</t>
        </is>
      </c>
      <c r="E32" t="n">
        <v>157.6</v>
      </c>
      <c r="G32" t="n">
        <v>17710</v>
      </c>
      <c r="H32" t="n">
        <v>17710</v>
      </c>
      <c r="I32">
        <f>H28/E28</f>
        <v/>
      </c>
      <c r="J32" t="inlineStr">
        <is>
          <t>REPT Grade A, UL ask</t>
        </is>
      </c>
      <c r="K32" t="inlineStr">
        <is>
          <t>157.6 kWh (11× 14.33kWh). NEEDS INVERTER (LV bus, 51.2 V). No inverter offered.</t>
        </is>
      </c>
    </row>
    <row r="33">
      <c r="A33" t="n">
        <v>13</v>
      </c>
      <c r="B33" t="inlineStr">
        <is>
          <t>GSL batt + Sunwave inv — PAIRED</t>
        </is>
      </c>
      <c r="C33" t="inlineStr">
        <is>
          <t>2× Sunwave SEI-18K-USP</t>
        </is>
      </c>
      <c r="D33" t="n">
        <v>36</v>
      </c>
      <c r="E33" t="n">
        <v>157.6</v>
      </c>
      <c r="F33" t="n">
        <v>6084</v>
      </c>
      <c r="G33" t="n">
        <v>17710</v>
      </c>
      <c r="H33">
        <f>F29+G29</f>
        <v/>
      </c>
      <c r="I33">
        <f>H29/E29</f>
        <v/>
      </c>
      <c r="J33" t="inlineStr">
        <is>
          <t>CSA + REPT</t>
        </is>
      </c>
      <c r="K33" t="inlineStr">
        <is>
          <t>HYPOTHETICAL. $23,794 FOB. Sunwave inv is LV-compatible with GSL 51.2 V stacks.</t>
        </is>
      </c>
    </row>
    <row r="34"/>
    <row r="35"/>
    <row r="36">
      <c r="A36" s="3" t="inlineStr">
        <is>
          <t>FULL SYSTEM PACKAGE COMPARISON (Tier 3 Scale: ~30kW / 48-56 panels)</t>
        </is>
      </c>
    </row>
    <row r="37">
      <c r="A37" s="16" t="inlineStr">
        <is>
          <t>#</t>
        </is>
      </c>
      <c r="B37" s="16" t="inlineStr">
        <is>
          <t>Package Option</t>
        </is>
      </c>
      <c r="C37" s="16" t="inlineStr">
        <is>
          <t>Panels</t>
        </is>
      </c>
      <c r="D37" s="16" t="inlineStr">
        <is>
          <t>Tracker</t>
        </is>
      </c>
      <c r="E37" s="16" t="inlineStr">
        <is>
          <t>Inverter+Battery</t>
        </is>
      </c>
      <c r="F37" s="16" t="inlineStr">
        <is>
          <t>BOS+Cable</t>
        </is>
      </c>
      <c r="G37" s="16" t="inlineStr">
        <is>
          <t>Total FOB</t>
        </is>
      </c>
      <c r="H37" s="16" t="inlineStr">
        <is>
          <t>Est. Freight</t>
        </is>
      </c>
      <c r="I37" s="16" t="inlineStr">
        <is>
          <t>Est. Tariffs</t>
        </is>
      </c>
      <c r="J37" s="16" t="inlineStr">
        <is>
          <t>Landed Cost</t>
        </is>
      </c>
      <c r="K37" s="16" t="inlineStr">
        <is>
          <t>Notes</t>
        </is>
      </c>
    </row>
    <row r="38">
      <c r="A38" s="17" t="n">
        <v>1</v>
      </c>
      <c r="B38" s="10" t="inlineStr">
        <is>
          <t>Sunpal + Atess + Separate Trackers</t>
        </is>
      </c>
      <c r="C38" s="11" t="n">
        <v>3648</v>
      </c>
      <c r="D38" s="10" t="n"/>
      <c r="E38" s="11" t="n">
        <v>13280</v>
      </c>
      <c r="F38" s="11" t="n">
        <v>2330</v>
      </c>
      <c r="G38" s="11">
        <f>SUM(C26:F26)</f>
        <v/>
      </c>
      <c r="H38" s="11" t="n">
        <v>3500</v>
      </c>
      <c r="I38" s="11">
        <f>G26*0.35</f>
        <v/>
      </c>
      <c r="J38" s="11">
        <f>G26+H26+I26</f>
        <v/>
      </c>
      <c r="K38" s="10" t="inlineStr">
        <is>
          <t>No tracker quote yet. Atess inverter is 3-PHASE not split-phase — may not work for US residential 120/240V!</t>
        </is>
      </c>
    </row>
    <row r="39">
      <c r="A39" s="17" t="n">
        <v>2</v>
      </c>
      <c r="B39" s="10" t="inlineStr">
        <is>
          <t>Sunpal + Megarevo + Separate Trackers</t>
        </is>
      </c>
      <c r="C39" s="11" t="n">
        <v>3648</v>
      </c>
      <c r="D39" s="10" t="n"/>
      <c r="E39" s="11" t="n">
        <v>11200</v>
      </c>
      <c r="F39" s="11" t="n">
        <v>2530</v>
      </c>
      <c r="G39" s="11">
        <f>SUM(C27:F27)</f>
        <v/>
      </c>
      <c r="H39" s="11" t="n">
        <v>3500</v>
      </c>
      <c r="I39" s="11">
        <f>G27*0.35</f>
        <v/>
      </c>
      <c r="J39" s="11">
        <f>G27+H27+I27</f>
        <v/>
      </c>
      <c r="K39" s="10" t="inlineStr">
        <is>
          <t>BEST US SPEC: Megarevo is split-phase 120/240V with UL cert. Missing tracker pricing.</t>
        </is>
      </c>
    </row>
    <row r="40">
      <c r="A40" s="17" t="n">
        <v>3</v>
      </c>
      <c r="B40" s="10" t="inlineStr">
        <is>
          <t>Simone Wang Bundle + Megarevo ESS</t>
        </is>
      </c>
      <c r="C40" s="10" t="n"/>
      <c r="D40" s="11" t="n">
        <v>22750</v>
      </c>
      <c r="E40" s="11" t="n">
        <v>11200</v>
      </c>
      <c r="F40" s="11" t="n">
        <v>2000</v>
      </c>
      <c r="G40" s="11">
        <f>SUM(C28:F28)</f>
        <v/>
      </c>
      <c r="H40" s="11" t="n">
        <v>3500</v>
      </c>
      <c r="I40" s="11">
        <f>G28*0.35</f>
        <v/>
      </c>
      <c r="J40" s="11">
        <f>G28+H28+I28</f>
        <v/>
      </c>
      <c r="K40" s="10" t="inlineStr">
        <is>
          <t>Tracker price INCLUDES panels (7×$3,250). Need Megarevo ESS separately.</t>
        </is>
      </c>
    </row>
    <row r="41">
      <c r="A41" s="17" t="n">
        <v>4</v>
      </c>
      <c r="B41" s="10" t="inlineStr">
        <is>
          <t>Simone Wang Bundle + Japower ESS ×2</t>
        </is>
      </c>
      <c r="C41" s="10" t="n"/>
      <c r="D41" s="11" t="n">
        <v>22750</v>
      </c>
      <c r="E41" s="10" t="n"/>
      <c r="F41" s="11" t="n">
        <v>2000</v>
      </c>
      <c r="G41" s="11">
        <f>SUM(C29:F29)</f>
        <v/>
      </c>
      <c r="H41" s="11" t="n">
        <v>3500</v>
      </c>
      <c r="I41" s="11">
        <f>G29*0.35</f>
        <v/>
      </c>
      <c r="J41" s="11">
        <f>G29+H29+I29</f>
        <v/>
      </c>
      <c r="K41" s="10" t="inlineStr">
        <is>
          <t>Waiting on Japower pricing. All-in-one = simplest install.</t>
        </is>
      </c>
    </row>
    <row r="42">
      <c r="A42" t="n">
        <v>5</v>
      </c>
      <c r="B42" t="inlineStr">
        <is>
          <t>⭐ Sunpal panels + Sunwave right-sized + Sunchaser trackers</t>
        </is>
      </c>
      <c r="C42" t="n">
        <v>3648</v>
      </c>
      <c r="E42" t="n">
        <v>19164</v>
      </c>
      <c r="F42" t="n">
        <v>2000</v>
      </c>
      <c r="H42" t="n">
        <v>3500</v>
      </c>
      <c r="K42" t="inlineStr">
        <is>
          <t>Best off-grid Tier 3 stack. Needs Sunchaser/Huayue tracker price. Mode A compatible.</t>
        </is>
      </c>
    </row>
    <row r="43">
      <c r="A43" t="n">
        <v>6</v>
      </c>
      <c r="B43" t="inlineStr">
        <is>
          <t>Simone Wang bundle + Sunwave right-sized ESS</t>
        </is>
      </c>
      <c r="C43" t="n">
        <v>22750</v>
      </c>
      <c r="E43" t="n">
        <v>19164</v>
      </c>
      <c r="F43" t="n">
        <v>2000</v>
      </c>
      <c r="H43" t="n">
        <v>3500</v>
      </c>
      <c r="K43" t="inlineStr">
        <is>
          <t>Simplest IF Simone's specs + company name check out.</t>
        </is>
      </c>
    </row>
    <row r="44">
      <c r="A44" t="n">
        <v>7</v>
      </c>
      <c r="B44" t="inlineStr">
        <is>
          <t>Sunpal panels + GSL batts + Sunwave inv + Sunchaser tracker</t>
        </is>
      </c>
      <c r="C44" t="n">
        <v>3648</v>
      </c>
      <c r="E44" t="n">
        <v>23794</v>
      </c>
      <c r="F44" t="n">
        <v>2000</v>
      </c>
      <c r="H44" t="n">
        <v>3500</v>
      </c>
      <c r="K44" t="inlineStr">
        <is>
          <t>Best battery $/kWh IF GSL certs check out. Mixed-ecosystem risk.</t>
        </is>
      </c>
    </row>
    <row r="45">
      <c r="A45" t="n">
        <v>8</v>
      </c>
      <c r="B45" t="inlineStr">
        <is>
          <t>Kamada 1-set DDP + Sunpal panels + Sunchaser tracker</t>
        </is>
      </c>
      <c r="C45" t="n">
        <v>3648</v>
      </c>
      <c r="E45" t="n">
        <v>12417</v>
      </c>
      <c r="F45" t="n">
        <v>2000</v>
      </c>
      <c r="H45" t="n">
        <v>0</v>
      </c>
      <c r="K45" t="inlineStr">
        <is>
          <t>Kamada single-set DDP ≈ $12,417/set (quote was 6 sets $74,500 DDP incl $8,500 ship). ONLY if 15 kW×2 split-phase verified.</t>
        </is>
      </c>
    </row>
  </sheetData>
  <mergeCells count="6">
    <mergeCell ref="A4:K4"/>
    <mergeCell ref="A15:K15"/>
    <mergeCell ref="A24:K24"/>
    <mergeCell ref="A2:K2"/>
    <mergeCell ref="A1:K1"/>
    <mergeCell ref="A9:K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150" zoomScaleNormal="150" workbookViewId="0">
      <selection activeCell="A1" sqref="A1:D1"/>
    </sheetView>
  </sheetViews>
  <sheetFormatPr baseColWidth="10" defaultColWidth="8.6640625" defaultRowHeight="15"/>
  <cols>
    <col width="47.5" customWidth="1" min="1" max="1"/>
    <col width="18" customWidth="1" min="2" max="3"/>
    <col width="45" customWidth="1" min="4" max="4"/>
  </cols>
  <sheetData>
    <row r="1" ht="17.25" customHeight="1">
      <c r="A1" s="2" t="inlineStr">
        <is>
          <t>US TARIFF RATES ON CHINESE SOLAR EQUIPMENT (2025-2026)</t>
        </is>
      </c>
    </row>
    <row r="3" ht="15" customHeight="1">
      <c r="A3" s="7" t="inlineStr">
        <is>
          <t>Component</t>
        </is>
      </c>
      <c r="B3" s="7" t="inlineStr">
        <is>
          <t>Section 301 Rate</t>
        </is>
      </c>
      <c r="C3" s="7" t="inlineStr">
        <is>
          <t>AD/CVD Rate</t>
        </is>
      </c>
      <c r="D3" s="7" t="inlineStr">
        <is>
          <t>Notes / Status</t>
        </is>
      </c>
    </row>
    <row r="4" ht="15" customHeight="1">
      <c r="A4" s="17" t="inlineStr">
        <is>
          <t>Solar Panels/Cells (from China)</t>
        </is>
      </c>
      <c r="B4" s="17" t="inlineStr">
        <is>
          <t>50%</t>
        </is>
      </c>
      <c r="C4" s="17" t="inlineStr">
        <is>
          <t>15-50% additional</t>
        </is>
      </c>
      <c r="D4" s="17" t="inlineStr">
        <is>
          <t>Section 301 raised to 50% Sep 2024. Plus AD/CVD duties from 2012 cases. HIGHEST tariff category.</t>
        </is>
      </c>
    </row>
    <row r="5" ht="15" customHeight="1">
      <c r="A5" s="10" t="inlineStr">
        <is>
          <t>Solar Panels (SE Asia assembly)</t>
        </is>
      </c>
      <c r="B5" s="10" t="inlineStr">
        <is>
          <t>Varies 24-46%</t>
        </is>
      </c>
      <c r="C5" s="10" t="inlineStr">
        <is>
          <t>New AD/CVD pending (Jun 2025)</t>
        </is>
      </c>
      <c r="D5" s="10" t="inlineStr">
        <is>
          <t>Cambodia, Malaysia, Thailand, Vietnam. ITC final ruling Jun 2, 2025. Could add 15-50% more.</t>
        </is>
      </c>
    </row>
    <row r="6" ht="15" customHeight="1">
      <c r="A6" s="17" t="inlineStr">
        <is>
          <t>LiFePO4 / Lithium Batteries (non-EV)</t>
        </is>
      </c>
      <c r="B6" s="17" t="inlineStr">
        <is>
          <t>25% (effective Jan 2026)</t>
        </is>
      </c>
      <c r="C6" s="17" t="inlineStr">
        <is>
          <t>N/A currently</t>
        </is>
      </c>
      <c r="D6" s="17" t="inlineStr">
        <is>
          <t>Already increased from 7.5% to 25% as of Jan 2026. This is the CURRENT rate. Total with other duties could reach ~82%.</t>
        </is>
      </c>
    </row>
    <row r="7" ht="15" customHeight="1">
      <c r="A7" s="10" t="inlineStr">
        <is>
          <t>Hybrid Inverters (HTS 8504.40)</t>
        </is>
      </c>
      <c r="B7" s="10" t="inlineStr">
        <is>
          <t>25%</t>
        </is>
      </c>
      <c r="C7" s="10" t="inlineStr">
        <is>
          <t>No specific AD/CVD</t>
        </is>
      </c>
      <c r="D7" s="10" t="inlineStr">
        <is>
          <t>Classified as static converters. Section 301 List 3 at 25%. Some exclusions may apply — check HTS.</t>
        </is>
      </c>
    </row>
    <row r="8" ht="15" customHeight="1">
      <c r="A8" s="10" t="inlineStr">
        <is>
          <t>Solar Trackers / Mounting Systems</t>
        </is>
      </c>
      <c r="B8" s="10" t="inlineStr">
        <is>
          <t>25%</t>
        </is>
      </c>
      <c r="C8" s="10" t="inlineStr">
        <is>
          <t>No specific AD/CVD</t>
        </is>
      </c>
      <c r="D8" s="10" t="inlineStr">
        <is>
          <t>Steel/aluminum structures. Section 301 List 3. Plus Section 232 steel/aluminum tariffs may apply.</t>
        </is>
      </c>
    </row>
    <row r="9" ht="15" customHeight="1">
      <c r="A9" s="10" t="inlineStr">
        <is>
          <t>All-in-One ESS (battery+inverter)</t>
        </is>
      </c>
      <c r="B9" s="10" t="inlineStr">
        <is>
          <t>25-50% (classification dependent)</t>
        </is>
      </c>
      <c r="C9" s="10" t="inlineStr">
        <is>
          <t>Unclear — new product category</t>
        </is>
      </c>
      <c r="D9" s="10" t="inlineStr">
        <is>
          <t>Could be classified as battery (7.5-25%) or inverter (25%) or mixed. Customs broker needed.</t>
        </is>
      </c>
    </row>
    <row r="10" ht="15" customHeight="1">
      <c r="A10" s="10" t="inlineStr">
        <is>
          <t>PV Wire / Cables</t>
        </is>
      </c>
      <c r="B10" s="10" t="inlineStr">
        <is>
          <t>25%</t>
        </is>
      </c>
      <c r="C10" s="10" t="inlineStr">
        <is>
          <t>N/A</t>
        </is>
      </c>
      <c r="D10" s="10" t="inlineStr">
        <is>
          <t>Section 301 List 3. Consider sourcing locally — heavy and cheap in US.</t>
        </is>
      </c>
    </row>
    <row r="11" ht="15" customHeight="1">
      <c r="A11" s="10" t="inlineStr">
        <is>
          <t>Section 201 Safeguard (panels)</t>
        </is>
      </c>
      <c r="B11" s="10" t="inlineStr">
        <is>
          <t>14% (expires Feb 2026)</t>
        </is>
      </c>
      <c r="C11" s="10" t="inlineStr">
        <is>
          <t>Stacks on top of above</t>
        </is>
      </c>
      <c r="D11" s="10" t="inlineStr">
        <is>
          <t>Applies to ALL imported panels regardless of origin. Expires Feb 7, 2026.</t>
        </is>
      </c>
    </row>
    <row r="13" ht="15" customHeight="1">
      <c r="A13" s="18" t="inlineStr">
        <is>
          <t>CRITICAL NOTES:</t>
        </is>
      </c>
    </row>
    <row r="14" ht="15" customHeight="1">
      <c r="A14" s="1" t="inlineStr">
        <is>
          <t>1. PANELS have the HIGHEST tariff exposure (50-100%+). Simone Wang's bundled tracker+panel deal may help if panels ship as 'tracker system' vs 'solar modules' — discuss with customs broker.</t>
        </is>
      </c>
    </row>
    <row r="15" ht="15" customHeight="1">
      <c r="A15" s="1" t="inlineStr">
        <is>
          <t>2. BATTERIES are currently cheapest to import (7.5%) but rising to 25% in 2026. Order batteries ASAP if going separate.</t>
        </is>
      </c>
    </row>
    <row r="16" ht="15" customHeight="1">
      <c r="A16" s="1" t="inlineStr">
        <is>
          <t>3. ALL-IN-ONE ESS units (Japower) have ambiguous classification — could be favorable if classified as 'energy storage system' vs 'battery' or 'inverter'. Customs broker ruling critical.</t>
        </is>
      </c>
    </row>
    <row r="17" ht="15" customHeight="1">
      <c r="A17" s="1" t="inlineStr">
        <is>
          <t>4. The Megarevo split-phase inverter has UL certification — this is the only quote so far with confirmed US electrical certification.</t>
        </is>
      </c>
    </row>
    <row r="18" ht="15" customHeight="1">
      <c r="A18" s="1" t="inlineStr">
        <is>
          <t>5. Anti-dumping duties apply to PANELS specifically — inverters, batteries, and trackers do NOT have specific AD/CVD orders (as of Apr 2026).</t>
        </is>
      </c>
    </row>
    <row r="19" ht="15" customHeight="1">
      <c r="A19" s="1" t="inlineStr">
        <is>
          <t>6. CONSULT A CUSTOMS BROKER before ordering. HTS classification determines which tariffs apply. Wrong classification = penalties.</t>
        </is>
      </c>
    </row>
  </sheetData>
  <mergeCells count="7">
    <mergeCell ref="A1:D1"/>
    <mergeCell ref="A17:D17"/>
    <mergeCell ref="A18:D18"/>
    <mergeCell ref="A15:D15"/>
    <mergeCell ref="A19:D19"/>
    <mergeCell ref="A16:D16"/>
    <mergeCell ref="A14:D1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50" zoomScaleNormal="150" workbookViewId="0">
      <selection activeCell="A1" sqref="A1:G1"/>
    </sheetView>
  </sheetViews>
  <sheetFormatPr baseColWidth="10" defaultColWidth="8.6640625" defaultRowHeight="15"/>
  <cols>
    <col width="8" customWidth="1" min="1" max="1"/>
    <col width="25" customWidth="1" min="2" max="2"/>
    <col width="35" customWidth="1" min="3" max="3"/>
    <col width="14" customWidth="1" min="4" max="7"/>
    <col width="10" customWidth="1" min="8" max="8"/>
    <col width="14" customWidth="1" min="9" max="9"/>
  </cols>
  <sheetData>
    <row r="1" ht="17.25" customHeight="1">
      <c r="A1" s="2" t="inlineStr">
        <is>
          <t>BATTERY &amp; INVERTER COMPONENT PRICING (from supplier image)</t>
        </is>
      </c>
    </row>
    <row r="3" ht="15" customHeight="1">
      <c r="A3" s="7" t="inlineStr">
        <is>
          <t>Item</t>
        </is>
      </c>
      <c r="B3" s="7" t="inlineStr">
        <is>
          <t>Model</t>
        </is>
      </c>
      <c r="C3" s="7" t="inlineStr">
        <is>
          <t>Description</t>
        </is>
      </c>
      <c r="D3" s="7" t="inlineStr">
        <is>
          <t>Qty Left</t>
        </is>
      </c>
      <c r="E3" s="7" t="inlineStr">
        <is>
          <t>1-5pcs</t>
        </is>
      </c>
      <c r="F3" s="7" t="inlineStr">
        <is>
          <t>6-20pcs</t>
        </is>
      </c>
      <c r="G3" s="7" t="inlineStr">
        <is>
          <t>&gt;50pcs</t>
        </is>
      </c>
      <c r="H3" s="7" t="inlineStr">
        <is>
          <t>kWh</t>
        </is>
      </c>
      <c r="I3" s="7" t="inlineStr">
        <is>
          <t>$/kWh (1-5)</t>
        </is>
      </c>
    </row>
    <row r="4" ht="15" customHeight="1">
      <c r="A4" s="10" t="n">
        <v>1</v>
      </c>
      <c r="B4" s="10" t="inlineStr">
        <is>
          <t>A0189-1 51.2V/300AH</t>
        </is>
      </c>
      <c r="C4" s="10" t="inlineStr">
        <is>
          <t>51.2V/300AH Stack w/ JY BMS</t>
        </is>
      </c>
      <c r="D4" s="10" t="n">
        <v>10</v>
      </c>
      <c r="E4" s="11" t="n">
        <v>1233</v>
      </c>
      <c r="F4" s="11" t="n">
        <v>1182</v>
      </c>
      <c r="G4" s="11" t="n">
        <v>1131</v>
      </c>
      <c r="H4" s="19" t="n">
        <v>15.36</v>
      </c>
      <c r="I4" s="20">
        <f>E4/H4</f>
        <v/>
      </c>
    </row>
    <row r="5" ht="15" customHeight="1">
      <c r="A5" s="10" t="n">
        <v>2</v>
      </c>
      <c r="B5" s="10" t="inlineStr">
        <is>
          <t>A0189-1 51.2V/325AH</t>
        </is>
      </c>
      <c r="C5" s="10" t="inlineStr">
        <is>
          <t>51.2V/325AH Stack w/ JY BMS</t>
        </is>
      </c>
      <c r="D5" s="10" t="n">
        <v>8</v>
      </c>
      <c r="E5" s="11" t="n">
        <v>1366</v>
      </c>
      <c r="F5" s="11" t="n">
        <v>1309</v>
      </c>
      <c r="G5" s="11" t="n">
        <v>1252</v>
      </c>
      <c r="H5" s="19" t="n">
        <v>16.64</v>
      </c>
      <c r="I5" s="20">
        <f>E5/H5</f>
        <v/>
      </c>
    </row>
    <row r="6" ht="15" customHeight="1">
      <c r="A6" s="10" t="n">
        <v>3</v>
      </c>
      <c r="B6" s="10" t="inlineStr">
        <is>
          <t>A0189-3-2 51.2V/320AH</t>
        </is>
      </c>
      <c r="C6" s="10" t="inlineStr">
        <is>
          <t>51.2V/320AH Stack w/ JK BMS, 2A active balancing, 4.3in screen</t>
        </is>
      </c>
      <c r="D6" s="10" t="n">
        <v>12</v>
      </c>
      <c r="E6" s="11" t="n">
        <v>1397</v>
      </c>
      <c r="F6" s="11" t="n">
        <v>1339</v>
      </c>
      <c r="G6" s="11" t="n">
        <v>1281</v>
      </c>
      <c r="H6" s="19" t="n">
        <v>16.38</v>
      </c>
      <c r="I6" s="20">
        <f>E6/H6</f>
        <v/>
      </c>
    </row>
    <row r="7" ht="15" customHeight="1">
      <c r="A7" s="10" t="n">
        <v>4</v>
      </c>
      <c r="B7" s="10" t="inlineStr">
        <is>
          <t>A0182-3-3 51.2V/325AH</t>
        </is>
      </c>
      <c r="C7" s="10" t="inlineStr">
        <is>
          <t>51.2V/325AH Tower &amp; 5in Touch Screen, SOC Light Strip</t>
        </is>
      </c>
      <c r="D7" s="10" t="n">
        <v>6</v>
      </c>
      <c r="E7" s="11" t="n">
        <v>1397</v>
      </c>
      <c r="F7" s="11" t="n">
        <v>1339</v>
      </c>
      <c r="G7" s="11" t="n">
        <v>1281</v>
      </c>
      <c r="H7" s="19" t="n">
        <v>16.64</v>
      </c>
      <c r="I7" s="20">
        <f>E7/H7</f>
        <v/>
      </c>
    </row>
    <row r="8" ht="15" customHeight="1">
      <c r="A8" s="10" t="n">
        <v>5</v>
      </c>
      <c r="B8" s="10" t="inlineStr">
        <is>
          <t>A0182-2-2 51.2V/300AH</t>
        </is>
      </c>
      <c r="C8" s="10" t="inlineStr">
        <is>
          <t>51.2V/300AH Bottom unit</t>
        </is>
      </c>
      <c r="D8" s="10" t="n">
        <v>2</v>
      </c>
      <c r="E8" s="11" t="n">
        <v>1239</v>
      </c>
      <c r="F8" s="11" t="n">
        <v>1187</v>
      </c>
      <c r="G8" s="11" t="n">
        <v>1135</v>
      </c>
      <c r="H8" s="19" t="n">
        <v>15.36</v>
      </c>
      <c r="I8" s="20">
        <f>E8/H8</f>
        <v/>
      </c>
    </row>
    <row r="9" ht="15" customHeight="1">
      <c r="A9" s="10" t="n">
        <v>6</v>
      </c>
      <c r="B9" s="10" t="inlineStr">
        <is>
          <t>A0182-2-2 51.2V/320AH</t>
        </is>
      </c>
      <c r="C9" s="10" t="inlineStr">
        <is>
          <t>51.2V/320AH Bottom unit</t>
        </is>
      </c>
      <c r="D9" s="10" t="n">
        <v>3</v>
      </c>
      <c r="E9" s="11" t="n">
        <v>1376</v>
      </c>
      <c r="F9" s="11" t="n">
        <v>1319</v>
      </c>
      <c r="G9" s="11" t="n">
        <v>1261</v>
      </c>
      <c r="H9" s="19" t="n">
        <v>16.38</v>
      </c>
      <c r="I9" s="20">
        <f>E9/H9</f>
        <v/>
      </c>
    </row>
    <row r="10" ht="15" customHeight="1">
      <c r="A10" s="10" t="n">
        <v>7</v>
      </c>
      <c r="B10" s="10" t="inlineStr">
        <is>
          <t>A0182-3-3 51.2V/325AH</t>
        </is>
      </c>
      <c r="C10" s="10" t="inlineStr">
        <is>
          <t>51.2V/325AH Tower-JK</t>
        </is>
      </c>
      <c r="D10" s="10" t="n">
        <v>1</v>
      </c>
      <c r="E10" s="11" t="n">
        <v>1397</v>
      </c>
      <c r="F10" s="11" t="n">
        <v>1339</v>
      </c>
      <c r="G10" s="11" t="n">
        <v>1281</v>
      </c>
      <c r="H10" s="19" t="n">
        <v>16.64</v>
      </c>
      <c r="I10" s="20">
        <f>E10/H10</f>
        <v/>
      </c>
    </row>
    <row r="11" ht="15" customHeight="1">
      <c r="A11" s="10" t="n">
        <v>8</v>
      </c>
      <c r="B11" s="10" t="inlineStr">
        <is>
          <t>A0207 51.2V/100AH</t>
        </is>
      </c>
      <c r="C11" s="10" t="inlineStr">
        <is>
          <t>51.2V/100AH Wall Mounted Battery</t>
        </is>
      </c>
      <c r="D11" s="10" t="n">
        <v>5</v>
      </c>
      <c r="E11" s="11" t="n">
        <v>525</v>
      </c>
      <c r="F11" s="11" t="n">
        <v>505</v>
      </c>
      <c r="G11" s="11" t="n">
        <v>485</v>
      </c>
      <c r="H11" s="19" t="n">
        <v>5.12</v>
      </c>
      <c r="I11" s="20">
        <f>E11/H11</f>
        <v/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2" zoomScale="150" zoomScaleNormal="150" workbookViewId="0">
      <selection activeCell="A1" sqref="A1:D1"/>
    </sheetView>
  </sheetViews>
  <sheetFormatPr baseColWidth="10" defaultColWidth="8.6640625" defaultRowHeight="15"/>
  <cols>
    <col width="50.1640625" customWidth="1" min="1" max="1"/>
    <col width="21.83203125" customWidth="1" min="2" max="2"/>
    <col width="20" customWidth="1" min="3" max="3"/>
    <col width="100.6640625" customWidth="1" min="4" max="4"/>
  </cols>
  <sheetData>
    <row r="1" ht="17.25" customHeight="1">
      <c r="A1" s="2" t="inlineStr">
        <is>
          <t>OPEN DECISIONS &amp; ACTION ITEMS</t>
        </is>
      </c>
    </row>
    <row r="3" ht="15" customHeight="1">
      <c r="A3" s="7" t="inlineStr">
        <is>
          <t>Decision / Action Item</t>
        </is>
      </c>
      <c r="B3" s="7" t="inlineStr">
        <is>
          <t>Status</t>
        </is>
      </c>
      <c r="C3" s="7" t="inlineStr">
        <is>
          <t>Owner</t>
        </is>
      </c>
      <c r="D3" s="7" t="inlineStr">
        <is>
          <t>Notes</t>
        </is>
      </c>
    </row>
    <row r="4" ht="15" customHeight="1">
      <c r="A4" s="14" t="inlineStr">
        <is>
          <t>Get Simone Wang's company name</t>
        </is>
      </c>
      <c r="B4" s="14" t="inlineStr">
        <is>
          <t>WAITING</t>
        </is>
      </c>
      <c r="C4" s="14" t="inlineStr">
        <is>
          <t>Andrew</t>
        </is>
      </c>
      <c r="D4" s="14" t="inlineStr">
        <is>
          <t>She quoted $3,250 for 8-panel dual-axis tracker w/ panels</t>
        </is>
      </c>
    </row>
    <row r="5" ht="15" customHeight="1">
      <c r="A5" s="14" t="inlineStr">
        <is>
          <t>Confirm Simone's panel specs</t>
        </is>
      </c>
      <c r="B5" s="14" t="inlineStr">
        <is>
          <t>WAITING</t>
        </is>
      </c>
      <c r="C5" s="14" t="inlineStr">
        <is>
          <t>Andrew</t>
        </is>
      </c>
      <c r="D5" s="14" t="inlineStr">
        <is>
          <t>What brand/wattage panels? Bifacial? TOPCon? Need specs to compare.</t>
        </is>
      </c>
    </row>
    <row r="6" ht="15" customHeight="1">
      <c r="A6" s="14" t="inlineStr">
        <is>
          <t>Get Japower direct quote (US spec)</t>
        </is>
      </c>
      <c r="B6" s="14" t="inlineStr">
        <is>
          <t>WAITING</t>
        </is>
      </c>
      <c r="C6" s="14" t="inlineStr">
        <is>
          <t>Andrew</t>
        </is>
      </c>
      <c r="D6" s="14" t="inlineStr">
        <is>
          <t>80kWh/30kW, 120V/240V 60Hz, qty 2. Alibaba price doesn't update.</t>
        </is>
      </c>
    </row>
    <row r="7" ht="15" customHeight="1">
      <c r="A7" s="17" t="inlineStr">
        <is>
          <t>Atess inverter: 3-phase vs split-phase?</t>
        </is>
      </c>
      <c r="B7" s="17" t="inlineStr">
        <is>
          <t>RED FLAG</t>
        </is>
      </c>
      <c r="C7" s="17" t="inlineStr">
        <is>
          <t>Andrew</t>
        </is>
      </c>
      <c r="D7" s="17" t="inlineStr">
        <is>
          <t>HPS30000TL-US-208 is 3-phase 190-240V. US residential is split-phase 120/240V. May NOT work!</t>
        </is>
      </c>
    </row>
    <row r="8" ht="15" customHeight="1">
      <c r="A8" s="21" t="inlineStr">
        <is>
          <t>Contact customs broker for HTS codes</t>
        </is>
      </c>
      <c r="B8" s="21" t="inlineStr">
        <is>
          <t>NOT STARTED</t>
        </is>
      </c>
      <c r="C8" s="21" t="inlineStr">
        <is>
          <t>Andrew</t>
        </is>
      </c>
      <c r="D8" s="21" t="inlineStr">
        <is>
          <t>Critical for tariff planning. Panels vs tracker vs ESS classification.</t>
        </is>
      </c>
    </row>
    <row r="9" ht="15" customHeight="1">
      <c r="A9" s="10" t="inlineStr">
        <is>
          <t>Decide: separate components vs all-in-one ESS</t>
        </is>
      </c>
      <c r="B9" s="10" t="inlineStr">
        <is>
          <t>OPEN</t>
        </is>
      </c>
      <c r="C9" s="10" t="inlineStr">
        <is>
          <t>Andrew/Roger</t>
        </is>
      </c>
      <c r="D9" s="10" t="inlineStr">
        <is>
          <t>Sunwave PPTX laid out pros/cons. Separate = more flexible but complex. All-in-one = simpler but locked in.</t>
        </is>
      </c>
    </row>
    <row r="10" ht="15" customHeight="1">
      <c r="A10" s="10" t="inlineStr">
        <is>
          <t>Decide: 2-panel vs 4-panel vs 8-panel tracker config</t>
        </is>
      </c>
      <c r="B10" s="10" t="inlineStr">
        <is>
          <t>OPEN</t>
        </is>
      </c>
      <c r="C10" s="10" t="inlineStr">
        <is>
          <t>Andrew</t>
        </is>
      </c>
      <c r="D10" s="10" t="inlineStr">
        <is>
          <t>8-panel from Simone is cheapest per panel slot. 4-panel per supplier drawing. 2-panel in original design.</t>
        </is>
      </c>
    </row>
    <row r="11" ht="15" customHeight="1">
      <c r="A11" s="14" t="inlineStr">
        <is>
          <t>Get tracker RFQ responses</t>
        </is>
      </c>
      <c r="B11" s="14" t="inlineStr">
        <is>
          <t>WAITING</t>
        </is>
      </c>
      <c r="C11" s="14" t="inlineStr">
        <is>
          <t>Andrew</t>
        </is>
      </c>
      <c r="D11" s="14" t="inlineStr">
        <is>
          <t>RFQs sent to Kseng, PromiSteel, HDsolar, Huayue, Xinpeng</t>
        </is>
      </c>
    </row>
    <row r="12" ht="15" customHeight="1">
      <c r="A12" s="17" t="inlineStr">
        <is>
          <t>Battery tariff already at 25% (since Jan 2026)</t>
        </is>
      </c>
      <c r="B12" s="17" t="inlineStr">
        <is>
          <t>MISSED</t>
        </is>
      </c>
      <c r="C12" s="17" t="inlineStr">
        <is>
          <t>Andrew</t>
        </is>
      </c>
      <c r="D12" s="17" t="inlineStr">
        <is>
          <t>LiFePO4 tariff already went from 7.5% → 25% in Jan 2026. Current rate applies. Factor 25% into all battery pricing.</t>
        </is>
      </c>
    </row>
    <row r="13" ht="15" customHeight="1">
      <c r="A13" s="21" t="inlineStr">
        <is>
          <t>Verify all equipment UL/IEEE certifications</t>
        </is>
      </c>
      <c r="B13" s="21" t="inlineStr">
        <is>
          <t>NOT STARTED</t>
        </is>
      </c>
      <c r="C13" s="21" t="inlineStr">
        <is>
          <t>Andrew</t>
        </is>
      </c>
      <c r="D13" s="21" t="inlineStr">
        <is>
          <t>Only Megarevo confirmed UL cert so far. Need UL1741 + IEEE 1547 for grid interconnection.</t>
        </is>
      </c>
    </row>
    <row r="14">
      <c r="A14" t="inlineStr">
        <is>
          <t>LongKun (Zoey Mai): right-size quote</t>
        </is>
      </c>
      <c r="B14" t="inlineStr">
        <is>
          <t>WAITING</t>
        </is>
      </c>
      <c r="C14" t="inlineStr">
        <is>
          <t>Andrew</t>
        </is>
      </c>
      <c r="D14" t="inlineStr">
        <is>
          <t>Quote was 400 kWh/150 kW — ~2.5× Tier 3. Ask for 1 inv + 1 cabinet. Also confirm split-phase 120/240 V on 30 kW 'US Standard' inverter.</t>
        </is>
      </c>
    </row>
    <row r="15">
      <c r="A15" t="inlineStr">
        <is>
          <t>LongKun: validity expires 2026-04-23 (7 days)</t>
        </is>
      </c>
      <c r="B15" t="inlineStr">
        <is>
          <t>URGENT</t>
        </is>
      </c>
      <c r="C15" t="inlineStr">
        <is>
          <t>Andrew</t>
        </is>
      </c>
      <c r="D15" t="inlineStr">
        <is>
          <t>Reply before then. 100% T/T upfront — negotiate 50/50.</t>
        </is>
      </c>
    </row>
    <row r="16">
      <c r="A16" t="inlineStr">
        <is>
          <t>Kamada (James Tang): decode 15 kW×2 + 5-parallel sizing</t>
        </is>
      </c>
      <c r="B16" t="inlineStr">
        <is>
          <t>WAITING</t>
        </is>
      </c>
      <c r="C16" t="inlineStr">
        <is>
          <t>Andrew</t>
        </is>
      </c>
      <c r="D16" t="inlineStr">
        <is>
          <t>Ambiguous: inverter 15 kW or 30 kW? Battery pack 16 kWh total or 80 kWh? Quote is 6 sets — unclear what a 'set' is.</t>
        </is>
      </c>
    </row>
    <row r="17">
      <c r="A17" t="inlineStr">
        <is>
          <t>Kamada: validity expires 2026-04-22 (5 days)</t>
        </is>
      </c>
      <c r="B17" t="inlineStr">
        <is>
          <t>URGENT</t>
        </is>
      </c>
      <c r="C17" t="inlineStr">
        <is>
          <t>Andrew</t>
        </is>
      </c>
      <c r="D17" t="inlineStr">
        <is>
          <t>Only DDP quote on the table — apples-to-apples landed cost.</t>
        </is>
      </c>
    </row>
    <row r="18">
      <c r="A18" t="inlineStr">
        <is>
          <t>Kamada: UL/UL9540 cert docs for inverter + battery</t>
        </is>
      </c>
      <c r="B18" t="inlineStr">
        <is>
          <t>WAITING</t>
        </is>
      </c>
      <c r="C18" t="inlineStr">
        <is>
          <t>Andrew</t>
        </is>
      </c>
      <c r="D18" t="inlineStr">
        <is>
          <t>Required before any order.</t>
        </is>
      </c>
    </row>
    <row r="19">
      <c r="A19" t="inlineStr">
        <is>
          <t>GSL (Alex Yan): inverter pairing plan</t>
        </is>
      </c>
      <c r="B19" t="inlineStr">
        <is>
          <t>INFO</t>
        </is>
      </c>
      <c r="C19" t="inlineStr">
        <is>
          <t>Andrew</t>
        </is>
      </c>
      <c r="D19" t="inlineStr">
        <is>
          <t>GSL sells 51.2 V LV batteries only. Must pair with LV-bus inverter (Sunwave SEI-18K-USP, SolArk, SRNE). NOT compatible with LongKun HV 160-800 V or Kamada HV.</t>
        </is>
      </c>
    </row>
    <row r="20">
      <c r="A20" t="inlineStr">
        <is>
          <t>GSL: confirm UL1973/UL9540A + protocol list</t>
        </is>
      </c>
      <c r="B20" t="inlineStr">
        <is>
          <t>WAITING</t>
        </is>
      </c>
      <c r="C20" t="inlineStr">
        <is>
          <t>Andrew</t>
        </is>
      </c>
      <c r="D20" t="inlineStr">
        <is>
          <t>Need specific protocol list (Pylontech/CAN/Victron/etc.) so Sunwave/SRNE compatibility is confirmed.</t>
        </is>
      </c>
    </row>
    <row r="21">
      <c r="A21" t="inlineStr">
        <is>
          <t>GSL: DDP-to-Erda shipping add-on</t>
        </is>
      </c>
      <c r="B21" t="inlineStr">
        <is>
          <t>WAITING</t>
        </is>
      </c>
      <c r="C21" t="inlineStr">
        <is>
          <t>Andrew</t>
        </is>
      </c>
      <c r="D21" t="inlineStr">
        <is>
          <t>For apples-to-apples with Kamada DDP.</t>
        </is>
      </c>
    </row>
    <row r="22">
      <c r="A22" t="inlineStr">
        <is>
          <t>GSL: duplicate quote file (x2)</t>
        </is>
      </c>
      <c r="B22" t="inlineStr">
        <is>
          <t>INFO</t>
        </is>
      </c>
      <c r="C22" t="inlineStr">
        <is>
          <t>Andrew</t>
        </is>
      </c>
      <c r="D22" t="inlineStr">
        <is>
          <t>Same PDF arrived twice (and (1)). Only one to track.</t>
        </is>
      </c>
    </row>
    <row r="23">
      <c r="A23" t="inlineStr">
        <is>
          <t>Sunchaser / Zhaori (ZRD): request formal PI</t>
        </is>
      </c>
      <c r="B23" t="inlineStr">
        <is>
          <t>NOT STARTED</t>
        </is>
      </c>
      <c r="C23" t="inlineStr">
        <is>
          <t>Andrew</t>
        </is>
      </c>
      <c r="D23" t="inlineStr">
        <is>
          <t>Have datasheet only. Ask 7×8-panel OR 6×10-panel, EXW + DDP, lead time, wind/snow certs for Utah.</t>
        </is>
      </c>
    </row>
    <row r="24">
      <c r="A24" t="inlineStr">
        <is>
          <t>Huayue (HYS-8PV): clarify 78 vs 144 model + get PI</t>
        </is>
      </c>
      <c r="B24" t="inlineStr">
        <is>
          <t>NOT STARTED</t>
        </is>
      </c>
      <c r="C24" t="inlineStr">
        <is>
          <t>Andrew</t>
        </is>
      </c>
      <c r="D24" t="inlineStr">
        <is>
          <t>Filename HYS-8PV-144-LSD, drawing HYS-8PV-78-LSD. Ask which they offer; get price.</t>
        </is>
      </c>
    </row>
    <row r="25">
      <c r="A25" t="inlineStr">
        <is>
          <t>Bill of Lading (Kenny → james riley, 10/30/2025)</t>
        </is>
      </c>
      <c r="B25" t="inlineStr">
        <is>
          <t>FLAG</t>
        </is>
      </c>
      <c r="C25" t="inlineStr">
        <is>
          <t>Andrew</t>
        </is>
      </c>
      <c r="D25" t="inlineStr">
        <is>
          <t>Unrelated to Peterson Solar? Names don't match. Clarify whether this belongs here.</t>
        </is>
      </c>
    </row>
    <row r="26">
      <c r="A26" t="inlineStr">
        <is>
          <t>Sunwave (Fred): send the drafted email</t>
        </is>
      </c>
      <c r="B26" t="inlineStr">
        <is>
          <t>DRAFTED</t>
        </is>
      </c>
      <c r="C26" t="inlineStr">
        <is>
          <t>Andrew</t>
        </is>
      </c>
      <c r="D26" t="inlineStr">
        <is>
          <t>Email_to_Fred_Sunwave.md ready. 5 questions: off-grid mode, gen AC input, paralleling, pump LRA tolerance, any UL beyond CSA.</t>
        </is>
      </c>
    </row>
    <row r="27">
      <c r="A27" t="inlineStr">
        <is>
          <t>Battery $/kWh normalized comparison</t>
        </is>
      </c>
      <c r="B27" t="inlineStr">
        <is>
          <t>ANALYSIS</t>
        </is>
      </c>
      <c r="C27" t="inlineStr">
        <is>
          <t>Claude</t>
        </is>
      </c>
      <c r="D27" t="inlineStr">
        <is>
          <t>Sunwave $81/kWh · GSL $112/kWh · LongKun $250/kWh (HV cab premium) · Kamada $445/kWh (sizing unclear — likely wrong). See ANALYSIS.md.</t>
        </is>
      </c>
    </row>
    <row r="28">
      <c r="A28" t="inlineStr">
        <is>
          <t>Tracker config: 8 vs 10 vs 4 panels</t>
        </is>
      </c>
      <c r="B28" t="inlineStr">
        <is>
          <t>OPEN</t>
        </is>
      </c>
      <c r="C28" t="inlineStr">
        <is>
          <t>Andrew</t>
        </is>
      </c>
      <c r="D28" t="inlineStr">
        <is>
          <t>Revisit once pump load + panel wattage settled.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2026-04-02T15:25:11Z</dcterms:created>
  <dcterms:modified xmlns:dcterms="http://purl.org/dc/terms/" xmlns:xsi="http://www.w3.org/2001/XMLSchema-instance" xsi:type="dcterms:W3CDTF">2026-04-20T18:55:12Z</dcterms:modified>
  <cp:lastModifiedBy>Andrew Peterson</cp:lastModifiedBy>
  <cp:revision>0</cp:revision>
</cp:coreProperties>
</file>